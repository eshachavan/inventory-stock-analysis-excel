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a\Desktop\Excel Projects\"/>
    </mc:Choice>
  </mc:AlternateContent>
  <xr:revisionPtr revIDLastSave="0" documentId="8_{9DBC45DD-C3F5-4B18-937E-525165FB94E2}" xr6:coauthVersionLast="47" xr6:coauthVersionMax="47" xr10:uidLastSave="{00000000-0000-0000-0000-000000000000}"/>
  <bookViews>
    <workbookView xWindow="-108" yWindow="-108" windowWidth="23256" windowHeight="12576" xr2:uid="{8496C6B8-936C-4488-8962-FC0AEFE4FA80}"/>
  </bookViews>
  <sheets>
    <sheet name="Inventory Stock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<sst xmlns="http://schemas.openxmlformats.org/spreadsheetml/2006/main" count="20" uniqueCount="20">
  <si>
    <t>Product</t>
  </si>
  <si>
    <t>Current Stock</t>
  </si>
  <si>
    <t>Monthly Demand</t>
  </si>
  <si>
    <t>Reorder Level</t>
  </si>
  <si>
    <t>Stock Status</t>
  </si>
  <si>
    <t>Laptop</t>
  </si>
  <si>
    <t>Keyboard</t>
  </si>
  <si>
    <t>Mouse</t>
  </si>
  <si>
    <t>Headphones</t>
  </si>
  <si>
    <t>USB Cable</t>
  </si>
  <si>
    <t>Webcam</t>
  </si>
  <si>
    <t>Monitor</t>
  </si>
  <si>
    <t>Laptop Stand</t>
  </si>
  <si>
    <t>HDMI Cable</t>
  </si>
  <si>
    <t>Power Bank</t>
  </si>
  <si>
    <t>Inventory Stock Analysis</t>
  </si>
  <si>
    <t>Total Products:</t>
  </si>
  <si>
    <t>Products to Reorder:</t>
  </si>
  <si>
    <t>Optimal Stock:</t>
  </si>
  <si>
    <t xml:space="preserve">Overstock: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</si>
</sst>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AD78-5FCB-44AC-84EB-F81A3CD19F48}">
  <dimension ref="A1:E17"/>
  <sheetViews>
    <sheetView tabSelected="1" workbookViewId="0">
      <selection activeCell="C16" sqref="C16"/>
    </sheetView>
  </sheetViews>
  <sheetFormatPr defaultRowHeight="14.4" x14ac:dyDescent="0.3"/>
  <cols>
    <col min="1" max="1" width="22" style="1" customWidth="1"/>
    <col min="2" max="2" width="16.109375" style="1" customWidth="1"/>
    <col min="3" max="3" width="20.109375" style="1" customWidth="1"/>
    <col min="4" max="4" width="17.88671875" style="1" customWidth="1"/>
    <col min="5" max="5" width="18.109375" style="1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 t="s">
        <v>5</v>
      </c>
      <c r="B2" s="3">
        <v>25</v>
      </c>
      <c r="C2" s="3">
        <v>40</v>
      </c>
      <c r="D2" s="3">
        <v>30</v>
      </c>
      <c r="E2" s="12" t="str">
        <f>IF(B2&lt;D2,"Reorder",IF(B2&gt;D2*2,"Overstock","Optimal"))</f>
        <v>Reorder</v>
      </c>
    </row>
    <row r="3" spans="1:5" ht="15.6" x14ac:dyDescent="0.3">
      <c r="A3" s="3" t="s">
        <v>6</v>
      </c>
      <c r="B3" s="3">
        <v>80</v>
      </c>
      <c r="C3" s="3">
        <v>50</v>
      </c>
      <c r="D3" s="3">
        <v>40</v>
      </c>
      <c r="E3" s="12" t="str">
        <f t="shared" ref="E3:E11" si="0">IF(B3&lt;D3,"Reorder",IF(B3&gt;D3*2,"Overstock","Optimal"))</f>
        <v>Optimal</v>
      </c>
    </row>
    <row r="4" spans="1:5" ht="15.6" x14ac:dyDescent="0.3">
      <c r="A4" s="3" t="s">
        <v>7</v>
      </c>
      <c r="B4" s="3">
        <v>120</v>
      </c>
      <c r="C4" s="3">
        <v>60</v>
      </c>
      <c r="D4" s="3">
        <v>50</v>
      </c>
      <c r="E4" s="12" t="str">
        <f t="shared" si="0"/>
        <v>Overstock</v>
      </c>
    </row>
    <row r="5" spans="1:5" ht="15.6" x14ac:dyDescent="0.3">
      <c r="A5" s="3" t="s">
        <v>8</v>
      </c>
      <c r="B5" s="3">
        <v>35</v>
      </c>
      <c r="C5" s="3">
        <v>45</v>
      </c>
      <c r="D5" s="3">
        <v>40</v>
      </c>
      <c r="E5" s="12" t="str">
        <f t="shared" si="0"/>
        <v>Reorder</v>
      </c>
    </row>
    <row r="6" spans="1:5" ht="15.6" x14ac:dyDescent="0.3">
      <c r="A6" s="3" t="s">
        <v>9</v>
      </c>
      <c r="B6" s="3">
        <v>150</v>
      </c>
      <c r="C6" s="3">
        <v>80</v>
      </c>
      <c r="D6" s="3">
        <v>60</v>
      </c>
      <c r="E6" s="12" t="str">
        <f t="shared" si="0"/>
        <v>Overstock</v>
      </c>
    </row>
    <row r="7" spans="1:5" ht="15.6" x14ac:dyDescent="0.3">
      <c r="A7" s="3" t="s">
        <v>10</v>
      </c>
      <c r="B7" s="3">
        <v>30</v>
      </c>
      <c r="C7" s="3">
        <v>35</v>
      </c>
      <c r="D7" s="3">
        <v>30</v>
      </c>
      <c r="E7" s="12" t="str">
        <f t="shared" si="0"/>
        <v>Optimal</v>
      </c>
    </row>
    <row r="8" spans="1:5" ht="15.6" x14ac:dyDescent="0.3">
      <c r="A8" s="3" t="s">
        <v>11</v>
      </c>
      <c r="B8" s="3">
        <v>45</v>
      </c>
      <c r="C8" s="3">
        <v>30</v>
      </c>
      <c r="D8" s="3">
        <v>25</v>
      </c>
      <c r="E8" s="12" t="str">
        <f t="shared" si="0"/>
        <v>Optimal</v>
      </c>
    </row>
    <row r="9" spans="1:5" ht="15.6" x14ac:dyDescent="0.3">
      <c r="A9" s="3" t="s">
        <v>12</v>
      </c>
      <c r="B9" s="3">
        <v>20</v>
      </c>
      <c r="C9" s="3">
        <v>35</v>
      </c>
      <c r="D9" s="3">
        <v>30</v>
      </c>
      <c r="E9" s="12" t="str">
        <f t="shared" si="0"/>
        <v>Reorder</v>
      </c>
    </row>
    <row r="10" spans="1:5" ht="15.6" x14ac:dyDescent="0.3">
      <c r="A10" s="3" t="s">
        <v>13</v>
      </c>
      <c r="B10" s="3">
        <v>90</v>
      </c>
      <c r="C10" s="3">
        <v>50</v>
      </c>
      <c r="D10" s="3">
        <v>40</v>
      </c>
      <c r="E10" s="12" t="str">
        <f t="shared" si="0"/>
        <v>Overstock</v>
      </c>
    </row>
    <row r="11" spans="1:5" ht="15.6" x14ac:dyDescent="0.3">
      <c r="A11" s="3" t="s">
        <v>14</v>
      </c>
      <c r="B11" s="3">
        <v>40</v>
      </c>
      <c r="C11" s="3">
        <v>45</v>
      </c>
      <c r="D11" s="3">
        <v>35</v>
      </c>
      <c r="E11" s="12" t="str">
        <f t="shared" si="0"/>
        <v>Optimal</v>
      </c>
    </row>
    <row r="12" spans="1:5" ht="15" thickBot="1" x14ac:dyDescent="0.35"/>
    <row r="13" spans="1:5" ht="18.600000000000001" thickBot="1" x14ac:dyDescent="0.4">
      <c r="A13" s="4" t="s">
        <v>15</v>
      </c>
      <c r="B13" s="5"/>
    </row>
    <row r="14" spans="1:5" ht="18" x14ac:dyDescent="0.35">
      <c r="A14" s="6" t="s">
        <v>16</v>
      </c>
      <c r="B14" s="9">
        <f>COUNTA(A2:A11)</f>
        <v>10</v>
      </c>
    </row>
    <row r="15" spans="1:5" ht="18" x14ac:dyDescent="0.35">
      <c r="A15" s="7" t="s">
        <v>17</v>
      </c>
      <c r="B15" s="10">
        <f>COUNTIF(E2:E11,"Reorder")</f>
        <v>3</v>
      </c>
    </row>
    <row r="16" spans="1:5" ht="18" x14ac:dyDescent="0.35">
      <c r="A16" s="7" t="s">
        <v>18</v>
      </c>
      <c r="B16" s="10">
        <f>COUNTIF(E2:E11,"Optimal")</f>
        <v>4</v>
      </c>
    </row>
    <row r="17" spans="1:2" ht="18.600000000000001" thickBot="1" x14ac:dyDescent="0.4">
      <c r="A17" s="8" t="s">
        <v>19</v>
      </c>
      <c r="B17" s="11">
        <f>COUNTIF(E2:E11,"Overstock")</f>
        <v>3</v>
      </c>
    </row>
  </sheetData>
  <mergeCells count="1">
    <mergeCell ref="A13:B13"/>
  </mergeCells>
  <conditionalFormatting sqref="E2:E11">
    <cfRule type="containsText" dxfId="0" priority="3" operator="containsText" text="Reorder">
      <formula>NOT(ISERROR(SEARCH("Reorder",E2)))</formula>
    </cfRule>
    <cfRule type="containsText" dxfId="1" priority="2" operator="containsText" text="Optimal">
      <formula>NOT(ISERROR(SEARCH("Optimal",E2)))</formula>
    </cfRule>
    <cfRule type="containsText" dxfId="2" priority="1" operator="containsText" text="Overstock">
      <formula>NOT(ISERROR(SEARCH("Overstock",E2)))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Stock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</dc:creator>
  <cp:lastModifiedBy>Esha</cp:lastModifiedBy>
  <dcterms:created xsi:type="dcterms:W3CDTF">2026-09-12T13:54:45Z</dcterms:created>
  <dcterms:modified xsi:type="dcterms:W3CDTF">2026-09-12T14:51:33Z</dcterms:modified>
</cp:coreProperties>
</file>